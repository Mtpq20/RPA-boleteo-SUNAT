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Cuenta</t>
        </is>
      </c>
      <c r="D1" s="1" t="inlineStr">
        <is>
          <t>Tipo_Doc</t>
        </is>
      </c>
      <c r="E1" s="1" t="inlineStr">
        <is>
          <t>Nro_Doc</t>
        </is>
      </c>
      <c r="F1" s="1" t="inlineStr">
        <is>
          <t>Cliente</t>
        </is>
      </c>
      <c r="G1" s="1" t="inlineStr">
        <is>
          <t>Descripcion</t>
        </is>
      </c>
      <c r="H1" s="1" t="inlineStr">
        <is>
          <t>Cantidad</t>
        </is>
      </c>
      <c r="I1" s="1" t="inlineStr">
        <is>
          <t>Precio_Unit</t>
        </is>
      </c>
      <c r="J1" s="1" t="inlineStr">
        <is>
          <t>Total</t>
        </is>
      </c>
      <c r="K1" s="1" t="inlineStr">
        <is>
          <t>Estado</t>
        </is>
      </c>
      <c r="L1" s="1" t="inlineStr">
        <is>
          <t>Serie_Numero</t>
        </is>
      </c>
      <c r="M1" s="1" t="inlineStr">
        <is>
          <t>Fecha_Emision</t>
        </is>
      </c>
      <c r="N1" s="1" t="inlineStr">
        <is>
          <t>Error</t>
        </is>
      </c>
    </row>
    <row r="2">
      <c r="A2" t="n">
        <v>1</v>
      </c>
      <c r="B2" t="inlineStr">
        <is>
          <t>2026-10-26</t>
        </is>
      </c>
      <c r="C2" t="inlineStr">
        <is>
          <t>EMPRESA_A</t>
        </is>
      </c>
      <c r="D2" t="n">
        <v>1</v>
      </c>
      <c r="E2" t="inlineStr">
        <is>
          <t>45123456</t>
        </is>
      </c>
      <c r="F2" t="inlineStr">
        <is>
          <t>Juan Pérez</t>
        </is>
      </c>
      <c r="G2" t="inlineStr">
        <is>
          <t>Polo algodón</t>
        </is>
      </c>
      <c r="H2" t="n">
        <v>2</v>
      </c>
      <c r="I2" t="n">
        <v>59.9</v>
      </c>
      <c r="J2">
        <f>ROUND(H2*I2,2)</f>
        <v/>
      </c>
      <c r="K2" t="inlineStr">
        <is>
          <t>PENDIENTE</t>
        </is>
      </c>
    </row>
    <row r="3">
      <c r="A3" t="n">
        <v>2</v>
      </c>
      <c r="B3" t="inlineStr">
        <is>
          <t>2026-10-26</t>
        </is>
      </c>
      <c r="C3" t="inlineStr">
        <is>
          <t>EMPRESA_B</t>
        </is>
      </c>
      <c r="D3" t="n">
        <v>0</v>
      </c>
      <c r="E3" t="inlineStr"/>
      <c r="F3" t="inlineStr">
        <is>
          <t>Clientes varios</t>
        </is>
      </c>
      <c r="G3" t="inlineStr">
        <is>
          <t>Gorra</t>
        </is>
      </c>
      <c r="H3" t="n">
        <v>1</v>
      </c>
      <c r="I3" t="n">
        <v>35</v>
      </c>
      <c r="J3">
        <f>ROUND(H3*I3,2)</f>
        <v/>
      </c>
      <c r="K3" t="inlineStr">
        <is>
          <t>PENDIENTE</t>
        </is>
      </c>
    </row>
    <row r="4">
      <c r="A4" t="n">
        <v>3</v>
      </c>
      <c r="B4" t="inlineStr">
        <is>
          <t>2026-10-26</t>
        </is>
      </c>
      <c r="C4" t="inlineStr">
        <is>
          <t>EMPRESA_A</t>
        </is>
      </c>
      <c r="D4" t="n">
        <v>1</v>
      </c>
      <c r="E4" t="inlineStr">
        <is>
          <t>7012345</t>
        </is>
      </c>
      <c r="F4" t="inlineStr">
        <is>
          <t>Ana Ruiz</t>
        </is>
      </c>
      <c r="G4" t="inlineStr">
        <is>
          <t>Casaca (DNI mal)</t>
        </is>
      </c>
      <c r="H4" t="n">
        <v>1</v>
      </c>
      <c r="I4" t="n">
        <v>189</v>
      </c>
      <c r="J4">
        <f>ROUND(H4*I4,2)</f>
        <v/>
      </c>
      <c r="K4" t="inlineStr">
        <is>
          <t>PENDIENTE</t>
        </is>
      </c>
    </row>
    <row r="5">
      <c r="A5" t="n">
        <v>4</v>
      </c>
      <c r="B5" t="inlineStr">
        <is>
          <t>2026-10-26</t>
        </is>
      </c>
      <c r="C5" t="inlineStr">
        <is>
          <t>EMPRESA_B</t>
        </is>
      </c>
      <c r="D5" t="n">
        <v>1</v>
      </c>
      <c r="E5" t="inlineStr">
        <is>
          <t>40998877</t>
        </is>
      </c>
      <c r="F5" t="inlineStr">
        <is>
          <t>Luis Soto</t>
        </is>
      </c>
      <c r="G5" t="inlineStr">
        <is>
          <t>Zapatillas</t>
        </is>
      </c>
      <c r="H5" t="n">
        <v>1</v>
      </c>
      <c r="I5" t="n">
        <v>420</v>
      </c>
      <c r="J5">
        <f>ROUND(H5*I5,2)</f>
        <v/>
      </c>
      <c r="K5" t="inlineStr">
        <is>
          <t>PENDIENTE</t>
        </is>
      </c>
    </row>
    <row r="6">
      <c r="A6" t="n">
        <v>5</v>
      </c>
      <c r="B6" t="inlineStr">
        <is>
          <t>2026-10-26</t>
        </is>
      </c>
      <c r="C6" t="inlineStr">
        <is>
          <t>EMPRESA_A</t>
        </is>
      </c>
      <c r="D6" t="n">
        <v>0</v>
      </c>
      <c r="E6" t="inlineStr"/>
      <c r="F6" t="inlineStr">
        <is>
          <t>Sin DNI</t>
        </is>
      </c>
      <c r="G6" t="inlineStr">
        <is>
          <t>Laptop (&gt;700)</t>
        </is>
      </c>
      <c r="H6" t="n">
        <v>1</v>
      </c>
      <c r="I6" t="n">
        <v>2500</v>
      </c>
      <c r="J6">
        <f>ROUND(H6*I6,2)</f>
        <v/>
      </c>
      <c r="K6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Cuenta</t>
        </is>
      </c>
      <c r="B1" s="1" t="inlineStr">
        <is>
          <t>N° boletas emitidas</t>
        </is>
      </c>
      <c r="C1" s="1" t="inlineStr">
        <is>
          <t>Total boleteado (S/)</t>
        </is>
      </c>
      <c r="D1" s="1" t="inlineStr">
        <is>
          <t>Pendientes</t>
        </is>
      </c>
      <c r="E1" s="1" t="inlineStr">
        <is>
          <t>Con error</t>
        </is>
      </c>
      <c r="F1" s="1" t="inlineStr">
        <is>
          <t>Total pendiente (S/)</t>
        </is>
      </c>
    </row>
    <row r="2">
      <c r="A2" t="inlineStr">
        <is>
          <t>EMPRESA_A</t>
        </is>
      </c>
      <c r="B2">
        <f>COUNTIFS(Ventas!$C:$C,A2,Ventas!$K:$K,"EMITIDA")</f>
        <v/>
      </c>
      <c r="C2" s="2">
        <f>SUMIFS(Ventas!$J:$J,Ventas!$C:$C,A2,Ventas!$K:$K,"EMITIDA")</f>
        <v/>
      </c>
      <c r="D2">
        <f>COUNTIFS(Ventas!$C:$C,A2,Ventas!$K:$K,"PENDIENTE")</f>
        <v/>
      </c>
      <c r="E2">
        <f>COUNTIFS(Ventas!$C:$C,A2,Ventas!$K:$K,"ERROR")</f>
        <v/>
      </c>
      <c r="F2" s="2">
        <f>SUMIFS(Ventas!$J:$J,Ventas!$C:$C,A2,Ventas!$K:$K,"PENDIENTE")</f>
        <v/>
      </c>
    </row>
    <row r="3">
      <c r="A3" t="inlineStr">
        <is>
          <t>EMPRESA_B</t>
        </is>
      </c>
      <c r="B3">
        <f>COUNTIFS(Ventas!$C:$C,A3,Ventas!$K:$K,"EMITIDA")</f>
        <v/>
      </c>
      <c r="C3" s="2">
        <f>SUMIFS(Ventas!$J:$J,Ventas!$C:$C,A3,Ventas!$K:$K,"EMITIDA")</f>
        <v/>
      </c>
      <c r="D3">
        <f>COUNTIFS(Ventas!$C:$C,A3,Ventas!$K:$K,"PENDIENTE")</f>
        <v/>
      </c>
      <c r="E3">
        <f>COUNTIFS(Ventas!$C:$C,A3,Ventas!$K:$K,"ERROR")</f>
        <v/>
      </c>
      <c r="F3" s="2">
        <f>SUMIFS(Ventas!$J:$J,Ventas!$C:$C,A3,Ventas!$K:$K,"PENDIENTE")</f>
        <v/>
      </c>
    </row>
    <row r="4">
      <c r="A4" s="3" t="inlineStr">
        <is>
          <t>TOTAL</t>
        </is>
      </c>
      <c r="B4" s="3">
        <f>SUM(B2:B3)</f>
        <v/>
      </c>
      <c r="C4" s="4">
        <f>SUM(C2:C3)</f>
        <v/>
      </c>
      <c r="D4" s="3">
        <f>SUM(D2:D3)</f>
        <v/>
      </c>
      <c r="E4" s="3">
        <f>SUM(E2:E3)</f>
        <v/>
      </c>
      <c r="F4" s="4">
        <f>SUM(F2:F3)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2026-10-26T17:17:33Z</dcterms:created>
  <dcterms:modified xmlns:dcterms="http://purl.org/dc/terms/" xmlns:xsi="http://www.w3.org/2001/XMLSchema-instance" xsi:type="dcterms:W3CDTF">2026-10-26T17:17:33Z</dcterms:modified>
</cp:coreProperties>
</file>